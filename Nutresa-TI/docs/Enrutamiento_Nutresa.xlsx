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buit\Downloads\"/>
    </mc:Choice>
  </mc:AlternateContent>
  <xr:revisionPtr revIDLastSave="0" documentId="13_ncr:1_{C053CE94-FE6C-458A-92FD-00DB94E299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7" i="1" l="1"/>
  <c r="E75" i="1"/>
  <c r="D75" i="1"/>
  <c r="E73" i="1"/>
  <c r="D73" i="1"/>
  <c r="N67" i="1"/>
  <c r="N68" i="1" s="1"/>
  <c r="N69" i="1" s="1"/>
  <c r="N70" i="1" s="1"/>
  <c r="N66" i="1"/>
  <c r="M66" i="1"/>
  <c r="M67" i="1" s="1"/>
  <c r="M68" i="1" s="1"/>
  <c r="M69" i="1" s="1"/>
  <c r="M70" i="1" s="1"/>
  <c r="E66" i="1"/>
  <c r="E74" i="1" s="1"/>
  <c r="D66" i="1"/>
  <c r="D74" i="1" s="1"/>
  <c r="D57" i="1"/>
  <c r="E55" i="1"/>
  <c r="D55" i="1"/>
  <c r="E53" i="1"/>
  <c r="D53" i="1"/>
  <c r="N50" i="1"/>
  <c r="N48" i="1"/>
  <c r="N46" i="1"/>
  <c r="M46" i="1"/>
  <c r="M47" i="1" s="1"/>
  <c r="M48" i="1" s="1"/>
  <c r="M49" i="1" s="1"/>
  <c r="M50" i="1" s="1"/>
  <c r="J46" i="1"/>
  <c r="E46" i="1"/>
  <c r="E54" i="1" s="1"/>
  <c r="D46" i="1"/>
  <c r="D54" i="1" s="1"/>
  <c r="D37" i="1"/>
  <c r="E35" i="1"/>
  <c r="D35" i="1"/>
  <c r="D34" i="1"/>
  <c r="E33" i="1"/>
  <c r="D33" i="1"/>
  <c r="N30" i="1"/>
  <c r="N29" i="1"/>
  <c r="N28" i="1"/>
  <c r="E27" i="1"/>
  <c r="E28" i="1" s="1"/>
  <c r="E29" i="1" s="1"/>
  <c r="E30" i="1" s="1"/>
  <c r="D27" i="1"/>
  <c r="D28" i="1" s="1"/>
  <c r="D29" i="1" s="1"/>
  <c r="D30" i="1" s="1"/>
  <c r="N26" i="1"/>
  <c r="M26" i="1"/>
  <c r="M27" i="1" s="1"/>
  <c r="M28" i="1" s="1"/>
  <c r="M29" i="1" s="1"/>
  <c r="M30" i="1" s="1"/>
  <c r="J26" i="1"/>
  <c r="E26" i="1"/>
  <c r="E34" i="1" s="1"/>
  <c r="D26" i="1"/>
  <c r="E15" i="1"/>
  <c r="D14" i="1"/>
  <c r="E13" i="1"/>
  <c r="D13" i="1"/>
  <c r="N7" i="1"/>
  <c r="N8" i="1" s="1"/>
  <c r="N9" i="1" s="1"/>
  <c r="N10" i="1" s="1"/>
  <c r="M7" i="1"/>
  <c r="M8" i="1" s="1"/>
  <c r="M9" i="1" s="1"/>
  <c r="M10" i="1" s="1"/>
  <c r="E7" i="1"/>
  <c r="E8" i="1" s="1"/>
  <c r="E9" i="1" s="1"/>
  <c r="E10" i="1" s="1"/>
  <c r="D7" i="1"/>
  <c r="D8" i="1" s="1"/>
  <c r="D9" i="1" s="1"/>
  <c r="D10" i="1" s="1"/>
  <c r="N6" i="1"/>
  <c r="M6" i="1"/>
  <c r="E6" i="1"/>
  <c r="E14" i="1" s="1"/>
  <c r="D6" i="1"/>
  <c r="D47" i="1" l="1"/>
  <c r="D48" i="1" s="1"/>
  <c r="D49" i="1" s="1"/>
  <c r="D50" i="1" s="1"/>
  <c r="E47" i="1"/>
  <c r="E48" i="1" s="1"/>
  <c r="E49" i="1" s="1"/>
  <c r="E50" i="1" s="1"/>
  <c r="D67" i="1"/>
  <c r="D68" i="1" s="1"/>
  <c r="D69" i="1" s="1"/>
  <c r="D70" i="1" s="1"/>
  <c r="E67" i="1"/>
  <c r="E68" i="1" s="1"/>
  <c r="E69" i="1" s="1"/>
  <c r="E70" i="1" s="1"/>
</calcChain>
</file>

<file path=xl/sharedStrings.xml><?xml version="1.0" encoding="utf-8"?>
<sst xmlns="http://schemas.openxmlformats.org/spreadsheetml/2006/main" count="286" uniqueCount="154">
  <si>
    <t xml:space="preserve">Dispositivo </t>
  </si>
  <si>
    <t>Propietario o nombre</t>
  </si>
  <si>
    <t>IPv4 address</t>
  </si>
  <si>
    <t>Default Gateway</t>
  </si>
  <si>
    <t>Subnet Mask</t>
  </si>
  <si>
    <t>Dispositivo</t>
  </si>
  <si>
    <t>Nombre</t>
  </si>
  <si>
    <t>Puerto</t>
  </si>
  <si>
    <t>Red</t>
  </si>
  <si>
    <t xml:space="preserve">Mascara </t>
  </si>
  <si>
    <t xml:space="preserve">Vía </t>
  </si>
  <si>
    <t>PC-PT</t>
  </si>
  <si>
    <t>Coordinador Servicio al Cliente</t>
  </si>
  <si>
    <t>192.168.11.3</t>
  </si>
  <si>
    <t>192.168.11.1</t>
  </si>
  <si>
    <t>255.255.255.0</t>
  </si>
  <si>
    <t>ISR4331</t>
  </si>
  <si>
    <t>RT Operaciones</t>
  </si>
  <si>
    <t>Serial 0/2/0</t>
  </si>
  <si>
    <t>10.0.0.1</t>
  </si>
  <si>
    <t>192.168.12.0</t>
  </si>
  <si>
    <t>10.0.0.2</t>
  </si>
  <si>
    <t>Gestor PQR Nutresa</t>
  </si>
  <si>
    <t>192.168.11.4</t>
  </si>
  <si>
    <t>192.168.2.0</t>
  </si>
  <si>
    <t>Asesor Servicio al Cliente</t>
  </si>
  <si>
    <t>192.168.11.5</t>
  </si>
  <si>
    <t>192.168.13.0</t>
  </si>
  <si>
    <t>Profesional Experiencia Cliente</t>
  </si>
  <si>
    <t>192.168.11.6</t>
  </si>
  <si>
    <t>192.168.3.0</t>
  </si>
  <si>
    <t>Tecnico Documentacion</t>
  </si>
  <si>
    <t>192.168.11.7</t>
  </si>
  <si>
    <t>192.168.14.0</t>
  </si>
  <si>
    <t>Auxiliar Informacion</t>
  </si>
  <si>
    <t>192.168.11.8</t>
  </si>
  <si>
    <t>192.168.4.0</t>
  </si>
  <si>
    <t>2960-24TT</t>
  </si>
  <si>
    <t>SW Operaciones</t>
  </si>
  <si>
    <t>Switch-PT</t>
  </si>
  <si>
    <t>SW1 Operaciones</t>
  </si>
  <si>
    <t>WRT300N</t>
  </si>
  <si>
    <t>WiFi Operaciones</t>
  </si>
  <si>
    <t>192.168.11.9</t>
  </si>
  <si>
    <t>SMARTPHONE-PT</t>
  </si>
  <si>
    <t>Mobile Operaciones</t>
  </si>
  <si>
    <t>192.168.11.10</t>
  </si>
  <si>
    <t>Printer-PT</t>
  </si>
  <si>
    <t>Impresora Operaciones</t>
  </si>
  <si>
    <t>192.168.11.2</t>
  </si>
  <si>
    <t>Server-PT</t>
  </si>
  <si>
    <t>PROXY Operaciones</t>
  </si>
  <si>
    <t>192.168.1.2</t>
  </si>
  <si>
    <t>192.168.1.1</t>
  </si>
  <si>
    <t>DNS Operaciones</t>
  </si>
  <si>
    <t>192.168.1.3</t>
  </si>
  <si>
    <t xml:space="preserve">Subnet Mask </t>
  </si>
  <si>
    <t>Gerente Financiero</t>
  </si>
  <si>
    <t>192.168.12.3</t>
  </si>
  <si>
    <t>192.168.12.1</t>
  </si>
  <si>
    <t>RT Finanzas</t>
  </si>
  <si>
    <t>10.0.0.5</t>
  </si>
  <si>
    <t>10.0.0.6</t>
  </si>
  <si>
    <t>Director Tesoreria</t>
  </si>
  <si>
    <t>192.168.12.4</t>
  </si>
  <si>
    <t>Serial 0/2/1</t>
  </si>
  <si>
    <t>Jefe Presupuesto Nutresa</t>
  </si>
  <si>
    <t>192.168.12.5</t>
  </si>
  <si>
    <t>192.168.11.0</t>
  </si>
  <si>
    <t>Contador Senior</t>
  </si>
  <si>
    <t>192.168.12.6</t>
  </si>
  <si>
    <t>192.168.1.0</t>
  </si>
  <si>
    <t>Director RRHH</t>
  </si>
  <si>
    <t>192.168.12.7</t>
  </si>
  <si>
    <t>Auxiliar Administrativa</t>
  </si>
  <si>
    <t>192.168.12.8</t>
  </si>
  <si>
    <t>SW Finanzas</t>
  </si>
  <si>
    <t>SW2 Finanzas</t>
  </si>
  <si>
    <t>WiFi Finanzas</t>
  </si>
  <si>
    <t>192.168.12.9</t>
  </si>
  <si>
    <t>Mobile Finanzas</t>
  </si>
  <si>
    <t>192.168.12.10</t>
  </si>
  <si>
    <t>Impresora Finanzas</t>
  </si>
  <si>
    <t>192.168.12.2</t>
  </si>
  <si>
    <t>PROXY Finanzas</t>
  </si>
  <si>
    <t>192.168.2.2</t>
  </si>
  <si>
    <t>192.168.2.1</t>
  </si>
  <si>
    <t>DNS Finanzas</t>
  </si>
  <si>
    <t>192.168.2.3</t>
  </si>
  <si>
    <t>Coordinadora Logistica</t>
  </si>
  <si>
    <t>192.168.13.3</t>
  </si>
  <si>
    <t>192.168.13.1</t>
  </si>
  <si>
    <t>RT Produccion</t>
  </si>
  <si>
    <t>10.0.0.9</t>
  </si>
  <si>
    <t>Jefe Operaciones Planta</t>
  </si>
  <si>
    <t>192.168.13.4</t>
  </si>
  <si>
    <t>Ingeniero Produccion</t>
  </si>
  <si>
    <t>192.168.13.5</t>
  </si>
  <si>
    <t>Ingeniero Procesos</t>
  </si>
  <si>
    <t>192.168.13.6</t>
  </si>
  <si>
    <t>Inspector Calidad</t>
  </si>
  <si>
    <t>192.168.13.7</t>
  </si>
  <si>
    <t>10.0.0.10</t>
  </si>
  <si>
    <t>Tecnico Planta</t>
  </si>
  <si>
    <t>192.168.13.8</t>
  </si>
  <si>
    <t>SW Produccion</t>
  </si>
  <si>
    <t>SW3 Produccion</t>
  </si>
  <si>
    <t>WiFi Produccion</t>
  </si>
  <si>
    <t>192.168.13.9</t>
  </si>
  <si>
    <t>Mobile Produccion</t>
  </si>
  <si>
    <t>192.168.13.10</t>
  </si>
  <si>
    <t>Impresora Produccion</t>
  </si>
  <si>
    <t>192.168.13.2</t>
  </si>
  <si>
    <t>PROXY Produccion</t>
  </si>
  <si>
    <t>192.168.3.2</t>
  </si>
  <si>
    <t>192.168.3.1</t>
  </si>
  <si>
    <t>DNS Produccion</t>
  </si>
  <si>
    <t>192.168.3.3</t>
  </si>
  <si>
    <t>CEO Grupo Nutresa</t>
  </si>
  <si>
    <t>192.168.14.3</t>
  </si>
  <si>
    <t>192.168.14.1</t>
  </si>
  <si>
    <t>RT Tecnologia</t>
  </si>
  <si>
    <t>Asistente Direccion</t>
  </si>
  <si>
    <t>192.168.14.4</t>
  </si>
  <si>
    <t>Asesor Legal Corporativo</t>
  </si>
  <si>
    <t>192.168.14.5</t>
  </si>
  <si>
    <t>Director Auditoria TI</t>
  </si>
  <si>
    <t>192.168.14.6</t>
  </si>
  <si>
    <t>Especialista Comunicaciones</t>
  </si>
  <si>
    <t>192.168.14.7</t>
  </si>
  <si>
    <t>Director TI</t>
  </si>
  <si>
    <t>192.168.14.8</t>
  </si>
  <si>
    <t>SW Tecnologia</t>
  </si>
  <si>
    <t>SW4 Tecnologia</t>
  </si>
  <si>
    <t>WiFi Tecnologia</t>
  </si>
  <si>
    <t>192.168.14.9</t>
  </si>
  <si>
    <t>Mobile Direccion</t>
  </si>
  <si>
    <t>192.168.14.10</t>
  </si>
  <si>
    <t>Impresora Tecnologia</t>
  </si>
  <si>
    <t>192.168.14.2</t>
  </si>
  <si>
    <t>PROXY Tecnologia</t>
  </si>
  <si>
    <t>192.168.4.2</t>
  </si>
  <si>
    <t>192.168.4.1</t>
  </si>
  <si>
    <t>DNS Tecnologia</t>
  </si>
  <si>
    <t>192.168.4.3</t>
  </si>
  <si>
    <t>OPERACIONES Y ATENCIÓN AL CLIENTE</t>
  </si>
  <si>
    <t>Enrutamiento entre routers OPERACIONES Y ATENCIÓN AL CLIENTE</t>
  </si>
  <si>
    <t>FINANZAS Y ADMINISTRACION</t>
  </si>
  <si>
    <t>Enrutamiento entre routers FINANZAS Y ADMINISTRACION</t>
  </si>
  <si>
    <t>PRODUCCION E INGENIERIA</t>
  </si>
  <si>
    <t>Enrutamiento entre routers PRODUCCION E INGENIERIA</t>
  </si>
  <si>
    <t>TECNOLOGIA Y DIRECCION GENERAL</t>
  </si>
  <si>
    <t>Enrutamiento entre routers TECNOLOGIA Y DIRECCION GENERAL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</si>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</sst>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3" displayName="Tabla3" ref="A4:E17" totalsRowShown="0">
  <autoFilter ref="A4:E17" xr:uid="{00000000-0009-0000-0100-000001000000}"/>
  <tableColumns count="5">
    <tableColumn id="1" xr3:uid="{00000000-0010-0000-0000-000001000000}" name="Dispositivo "/>
    <tableColumn id="2" xr3:uid="{00000000-0010-0000-0000-000002000000}" name="Propietario o nombre"/>
    <tableColumn id="3" xr3:uid="{00000000-0010-0000-0000-000003000000}" name="IPv4 address"/>
    <tableColumn id="4" xr3:uid="{00000000-0010-0000-0000-000004000000}" name="Default Gateway"/>
    <tableColumn id="5" xr3:uid="{00000000-0010-0000-0000-000005000000}" name="Subnet Mas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4" displayName="Tabla4" ref="A24:E37" totalsRowShown="0">
  <autoFilter ref="A24:E37" xr:uid="{00000000-0009-0000-0100-000002000000}"/>
  <tableColumns count="5">
    <tableColumn id="1" xr3:uid="{00000000-0010-0000-0100-000001000000}" name="Dispositivo "/>
    <tableColumn id="2" xr3:uid="{00000000-0010-0000-0100-000002000000}" name="Propietario o nombre"/>
    <tableColumn id="3" xr3:uid="{00000000-0010-0000-0100-000003000000}" name="IPv4 address"/>
    <tableColumn id="4" xr3:uid="{00000000-0010-0000-0100-000004000000}" name="Default Gateway"/>
    <tableColumn id="5" xr3:uid="{00000000-0010-0000-0100-000005000000}" name="Subnet Mas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5" displayName="Tabla5" ref="A44:E57" totalsRowShown="0">
  <autoFilter ref="A44:E57" xr:uid="{00000000-0009-0000-0100-000003000000}"/>
  <tableColumns count="5">
    <tableColumn id="1" xr3:uid="{00000000-0010-0000-0200-000001000000}" name="Dispositivo "/>
    <tableColumn id="2" xr3:uid="{00000000-0010-0000-0200-000002000000}" name="Propietario o nombre"/>
    <tableColumn id="3" xr3:uid="{00000000-0010-0000-0200-000003000000}" name="IPv4 address"/>
    <tableColumn id="4" xr3:uid="{00000000-0010-0000-0200-000004000000}" name="Default Gateway"/>
    <tableColumn id="5" xr3:uid="{00000000-0010-0000-0200-000005000000}" name="Subnet Mas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6" displayName="Tabla6" ref="A64:E77" totalsRowShown="0">
  <autoFilter ref="A64:E77" xr:uid="{00000000-0009-0000-0100-000004000000}"/>
  <tableColumns count="5">
    <tableColumn id="1" xr3:uid="{00000000-0010-0000-0300-000001000000}" name="Dispositivo "/>
    <tableColumn id="2" xr3:uid="{00000000-0010-0000-0300-000002000000}" name="Propietario o nombre"/>
    <tableColumn id="3" xr3:uid="{00000000-0010-0000-0300-000003000000}" name="IPv4 address"/>
    <tableColumn id="4" xr3:uid="{00000000-0010-0000-0300-000004000000}" name="Default Gateway"/>
    <tableColumn id="5" xr3:uid="{00000000-0010-0000-0300-000005000000}" name="Subnet Mas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1" displayName="Tabla1" ref="G4:N10" totalsRowShown="0">
  <autoFilter ref="G4:N10" xr:uid="{00000000-0009-0000-0100-000005000000}"/>
  <tableColumns count="8">
    <tableColumn id="1" xr3:uid="{00000000-0010-0000-0400-000001000000}" name="Dispositivo"/>
    <tableColumn id="2" xr3:uid="{00000000-0010-0000-0400-000002000000}" name="Nombre"/>
    <tableColumn id="3" xr3:uid="{00000000-0010-0000-0400-000003000000}" name="Puerto"/>
    <tableColumn id="4" xr3:uid="{00000000-0010-0000-0400-000004000000}" name="Subnet Mask"/>
    <tableColumn id="5" xr3:uid="{00000000-0010-0000-0400-000005000000}" name="IPv4 address"/>
    <tableColumn id="6" xr3:uid="{00000000-0010-0000-0400-000006000000}" name="Red"/>
    <tableColumn id="7" xr3:uid="{00000000-0010-0000-0400-000007000000}" name="Mascara ">
      <calculatedColumnFormula>M4</calculatedColumnFormula>
    </tableColumn>
    <tableColumn id="8" xr3:uid="{00000000-0010-0000-0400-000008000000}" name="Vía ">
      <calculatedColumnFormula>N4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2" displayName="Tabla2" ref="G24:N30" totalsRowShown="0">
  <autoFilter ref="G24:N30" xr:uid="{00000000-0009-0000-0100-000006000000}"/>
  <tableColumns count="8">
    <tableColumn id="1" xr3:uid="{00000000-0010-0000-0500-000001000000}" name="Dispositivo"/>
    <tableColumn id="2" xr3:uid="{00000000-0010-0000-0500-000002000000}" name="Nombre"/>
    <tableColumn id="3" xr3:uid="{00000000-0010-0000-0500-000003000000}" name="Puerto"/>
    <tableColumn id="4" xr3:uid="{00000000-0010-0000-0500-000004000000}" name="Subnet Mask "/>
    <tableColumn id="5" xr3:uid="{00000000-0010-0000-0500-000005000000}" name="IPv4 address"/>
    <tableColumn id="6" xr3:uid="{00000000-0010-0000-0500-000006000000}" name="Red"/>
    <tableColumn id="7" xr3:uid="{00000000-0010-0000-0500-000007000000}" name="Mascara ">
      <calculatedColumnFormula>M24</calculatedColumnFormula>
    </tableColumn>
    <tableColumn id="8" xr3:uid="{00000000-0010-0000-0500-000008000000}" name="Vía 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a7" displayName="Tabla7" ref="G44:N50" totalsRowShown="0">
  <autoFilter ref="G44:N50" xr:uid="{00000000-0009-0000-0100-000007000000}"/>
  <tableColumns count="8">
    <tableColumn id="1" xr3:uid="{00000000-0010-0000-0600-000001000000}" name="Dispositivo"/>
    <tableColumn id="2" xr3:uid="{00000000-0010-0000-0600-000002000000}" name="Nombre"/>
    <tableColumn id="3" xr3:uid="{00000000-0010-0000-0600-000003000000}" name="Puerto"/>
    <tableColumn id="4" xr3:uid="{00000000-0010-0000-0600-000004000000}" name="Subnet Mask "/>
    <tableColumn id="5" xr3:uid="{00000000-0010-0000-0600-000005000000}" name="IPv4 address"/>
    <tableColumn id="6" xr3:uid="{00000000-0010-0000-0600-000006000000}" name="Red"/>
    <tableColumn id="7" xr3:uid="{00000000-0010-0000-0600-000007000000}" name="Mascara ">
      <calculatedColumnFormula>M44</calculatedColumnFormula>
    </tableColumn>
    <tableColumn id="8" xr3:uid="{00000000-0010-0000-0600-000008000000}" name="Vía 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a8" displayName="Tabla8" ref="G64:N70" totalsRowShown="0">
  <autoFilter ref="G64:N70" xr:uid="{00000000-0009-0000-0100-000008000000}"/>
  <tableColumns count="8">
    <tableColumn id="1" xr3:uid="{00000000-0010-0000-0700-000001000000}" name="Dispositivo"/>
    <tableColumn id="2" xr3:uid="{00000000-0010-0000-0700-000002000000}" name="Nombre"/>
    <tableColumn id="3" xr3:uid="{00000000-0010-0000-0700-000003000000}" name="Puerto"/>
    <tableColumn id="4" xr3:uid="{00000000-0010-0000-0700-000004000000}" name="Subnet Mask "/>
    <tableColumn id="5" xr3:uid="{00000000-0010-0000-0700-000005000000}" name="IPv4 address"/>
    <tableColumn id="6" xr3:uid="{00000000-0010-0000-0700-000006000000}" name="Red"/>
    <tableColumn id="7" xr3:uid="{00000000-0010-0000-0700-000007000000}" name="Mascara ">
      <calculatedColumnFormula>M64</calculatedColumnFormula>
    </tableColumn>
    <tableColumn id="8" xr3:uid="{00000000-0010-0000-0700-000008000000}" name="Vía ">
      <calculatedColumnFormula>N64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77"/>
  <sheetViews>
    <sheetView tabSelected="1" topLeftCell="E59" workbookViewId="0">
      <selection activeCell="O73" sqref="O73"/>
    </sheetView>
  </sheetViews>
  <sheetFormatPr baseColWidth="10" defaultRowHeight="14.5" x14ac:dyDescent="0.35"/>
  <cols>
    <col min="1" max="1" width="17.26953125" customWidth="1"/>
    <col min="2" max="2" width="30.54296875" customWidth="1"/>
    <col min="3" max="3" width="14.90625" customWidth="1"/>
    <col min="4" max="4" width="16.54296875" customWidth="1"/>
    <col min="5" max="5" width="15.1796875" customWidth="1"/>
    <col min="6" max="6" width="21.26953125" customWidth="1"/>
    <col min="7" max="7" width="12.1796875" customWidth="1"/>
    <col min="8" max="8" width="16.54296875" customWidth="1"/>
    <col min="10" max="10" width="14.36328125" customWidth="1"/>
    <col min="11" max="11" width="13.36328125" customWidth="1"/>
    <col min="12" max="12" width="12.453125" customWidth="1"/>
    <col min="13" max="13" width="13.1796875" customWidth="1"/>
  </cols>
  <sheetData>
    <row r="3" spans="1:14" x14ac:dyDescent="0.35">
      <c r="C3" t="s">
        <v>145</v>
      </c>
      <c r="J3" t="s">
        <v>146</v>
      </c>
    </row>
    <row r="4" spans="1:14" x14ac:dyDescent="0.35">
      <c r="A4" t="s">
        <v>0</v>
      </c>
      <c r="B4" t="s">
        <v>1</v>
      </c>
      <c r="C4" t="s">
        <v>2</v>
      </c>
      <c r="D4" t="s">
        <v>3</v>
      </c>
      <c r="E4" t="s">
        <v>4</v>
      </c>
      <c r="G4" t="s">
        <v>5</v>
      </c>
      <c r="H4" t="s">
        <v>6</v>
      </c>
      <c r="I4" t="s">
        <v>7</v>
      </c>
      <c r="J4" t="s">
        <v>4</v>
      </c>
      <c r="K4" t="s">
        <v>2</v>
      </c>
      <c r="L4" t="s">
        <v>8</v>
      </c>
      <c r="M4" t="s">
        <v>9</v>
      </c>
      <c r="N4" t="s">
        <v>10</v>
      </c>
    </row>
    <row r="5" spans="1:14" x14ac:dyDescent="0.35">
      <c r="A5" t="s">
        <v>11</v>
      </c>
      <c r="B5" t="s">
        <v>12</v>
      </c>
      <c r="C5" t="s">
        <v>13</v>
      </c>
      <c r="D5" t="s">
        <v>14</v>
      </c>
      <c r="E5" t="s">
        <v>15</v>
      </c>
      <c r="G5" t="s">
        <v>16</v>
      </c>
      <c r="H5" t="s">
        <v>17</v>
      </c>
      <c r="I5" t="s">
        <v>18</v>
      </c>
      <c r="J5" s="1">
        <v>255255255252</v>
      </c>
      <c r="K5" t="s">
        <v>19</v>
      </c>
      <c r="L5" t="s">
        <v>20</v>
      </c>
      <c r="M5" t="s">
        <v>15</v>
      </c>
      <c r="N5" t="s">
        <v>21</v>
      </c>
    </row>
    <row r="6" spans="1:14" x14ac:dyDescent="0.35">
      <c r="A6" t="s">
        <v>11</v>
      </c>
      <c r="B6" t="s">
        <v>22</v>
      </c>
      <c r="C6" t="s">
        <v>23</v>
      </c>
      <c r="D6" t="str">
        <f t="shared" ref="D6:E10" si="0">D5</f>
        <v>192.168.11.1</v>
      </c>
      <c r="E6" t="str">
        <f t="shared" si="0"/>
        <v>255.255.255.0</v>
      </c>
      <c r="L6" t="s">
        <v>24</v>
      </c>
      <c r="M6" t="str">
        <f t="shared" ref="M6:N10" si="1">M5</f>
        <v>255.255.255.0</v>
      </c>
      <c r="N6" t="str">
        <f t="shared" si="1"/>
        <v>10.0.0.2</v>
      </c>
    </row>
    <row r="7" spans="1:14" x14ac:dyDescent="0.35">
      <c r="A7" t="s">
        <v>11</v>
      </c>
      <c r="B7" t="s">
        <v>25</v>
      </c>
      <c r="C7" t="s">
        <v>26</v>
      </c>
      <c r="D7" t="str">
        <f t="shared" si="0"/>
        <v>192.168.11.1</v>
      </c>
      <c r="E7" t="str">
        <f t="shared" si="0"/>
        <v>255.255.255.0</v>
      </c>
      <c r="L7" t="s">
        <v>27</v>
      </c>
      <c r="M7" t="str">
        <f t="shared" si="1"/>
        <v>255.255.255.0</v>
      </c>
      <c r="N7" t="str">
        <f t="shared" si="1"/>
        <v>10.0.0.2</v>
      </c>
    </row>
    <row r="8" spans="1:14" x14ac:dyDescent="0.35">
      <c r="A8" t="s">
        <v>11</v>
      </c>
      <c r="B8" t="s">
        <v>28</v>
      </c>
      <c r="C8" t="s">
        <v>29</v>
      </c>
      <c r="D8" t="str">
        <f t="shared" si="0"/>
        <v>192.168.11.1</v>
      </c>
      <c r="E8" t="str">
        <f t="shared" si="0"/>
        <v>255.255.255.0</v>
      </c>
      <c r="L8" t="s">
        <v>30</v>
      </c>
      <c r="M8" t="str">
        <f t="shared" si="1"/>
        <v>255.255.255.0</v>
      </c>
      <c r="N8" t="str">
        <f t="shared" si="1"/>
        <v>10.0.0.2</v>
      </c>
    </row>
    <row r="9" spans="1:14" x14ac:dyDescent="0.35">
      <c r="A9" t="s">
        <v>11</v>
      </c>
      <c r="B9" t="s">
        <v>31</v>
      </c>
      <c r="C9" t="s">
        <v>32</v>
      </c>
      <c r="D9" t="str">
        <f t="shared" si="0"/>
        <v>192.168.11.1</v>
      </c>
      <c r="E9" t="str">
        <f t="shared" si="0"/>
        <v>255.255.255.0</v>
      </c>
      <c r="L9" t="s">
        <v>33</v>
      </c>
      <c r="M9" t="str">
        <f t="shared" si="1"/>
        <v>255.255.255.0</v>
      </c>
      <c r="N9" t="str">
        <f t="shared" si="1"/>
        <v>10.0.0.2</v>
      </c>
    </row>
    <row r="10" spans="1:14" x14ac:dyDescent="0.35">
      <c r="A10" t="s">
        <v>11</v>
      </c>
      <c r="B10" t="s">
        <v>34</v>
      </c>
      <c r="C10" t="s">
        <v>35</v>
      </c>
      <c r="D10" t="str">
        <f t="shared" si="0"/>
        <v>192.168.11.1</v>
      </c>
      <c r="E10" t="str">
        <f t="shared" si="0"/>
        <v>255.255.255.0</v>
      </c>
      <c r="L10" t="s">
        <v>36</v>
      </c>
      <c r="M10" t="str">
        <f t="shared" si="1"/>
        <v>255.255.255.0</v>
      </c>
      <c r="N10" t="str">
        <f t="shared" si="1"/>
        <v>10.0.0.2</v>
      </c>
    </row>
    <row r="11" spans="1:14" x14ac:dyDescent="0.35">
      <c r="A11" t="s">
        <v>37</v>
      </c>
      <c r="B11" t="s">
        <v>38</v>
      </c>
    </row>
    <row r="12" spans="1:14" x14ac:dyDescent="0.35">
      <c r="A12" t="s">
        <v>39</v>
      </c>
      <c r="B12" t="s">
        <v>40</v>
      </c>
    </row>
    <row r="13" spans="1:14" x14ac:dyDescent="0.35">
      <c r="A13" t="s">
        <v>41</v>
      </c>
      <c r="B13" t="s">
        <v>42</v>
      </c>
      <c r="C13" t="s">
        <v>43</v>
      </c>
      <c r="D13" t="str">
        <f>D5</f>
        <v>192.168.11.1</v>
      </c>
      <c r="E13" t="str">
        <f>E5</f>
        <v>255.255.255.0</v>
      </c>
      <c r="F13" s="2"/>
    </row>
    <row r="14" spans="1:14" x14ac:dyDescent="0.35">
      <c r="A14" t="s">
        <v>44</v>
      </c>
      <c r="B14" t="s">
        <v>45</v>
      </c>
      <c r="C14" t="s">
        <v>46</v>
      </c>
      <c r="D14" t="str">
        <f>D6</f>
        <v>192.168.11.1</v>
      </c>
      <c r="E14" t="str">
        <f>E6</f>
        <v>255.255.255.0</v>
      </c>
    </row>
    <row r="15" spans="1:14" x14ac:dyDescent="0.35">
      <c r="A15" t="s">
        <v>47</v>
      </c>
      <c r="B15" t="s">
        <v>48</v>
      </c>
      <c r="C15" t="s">
        <v>49</v>
      </c>
      <c r="D15" t="s">
        <v>14</v>
      </c>
      <c r="E15" t="str">
        <f>E4</f>
        <v>Subnet Mask</v>
      </c>
    </row>
    <row r="16" spans="1:14" x14ac:dyDescent="0.35">
      <c r="A16" t="s">
        <v>50</v>
      </c>
      <c r="B16" t="s">
        <v>51</v>
      </c>
      <c r="C16" t="s">
        <v>52</v>
      </c>
      <c r="D16" t="s">
        <v>53</v>
      </c>
      <c r="E16" t="s">
        <v>15</v>
      </c>
    </row>
    <row r="17" spans="1:14" x14ac:dyDescent="0.35">
      <c r="A17" t="s">
        <v>50</v>
      </c>
      <c r="B17" t="s">
        <v>54</v>
      </c>
      <c r="C17" t="s">
        <v>55</v>
      </c>
      <c r="D17" t="s">
        <v>53</v>
      </c>
      <c r="E17" t="s">
        <v>15</v>
      </c>
    </row>
    <row r="23" spans="1:14" x14ac:dyDescent="0.35">
      <c r="C23" t="s">
        <v>147</v>
      </c>
      <c r="J23" t="s">
        <v>148</v>
      </c>
    </row>
    <row r="24" spans="1:14" x14ac:dyDescent="0.35">
      <c r="A24" t="s">
        <v>0</v>
      </c>
      <c r="B24" t="s">
        <v>1</v>
      </c>
      <c r="C24" t="s">
        <v>2</v>
      </c>
      <c r="D24" t="s">
        <v>3</v>
      </c>
      <c r="E24" t="s">
        <v>4</v>
      </c>
      <c r="G24" t="s">
        <v>5</v>
      </c>
      <c r="H24" t="s">
        <v>6</v>
      </c>
      <c r="I24" t="s">
        <v>7</v>
      </c>
      <c r="J24" t="s">
        <v>56</v>
      </c>
      <c r="K24" t="s">
        <v>2</v>
      </c>
      <c r="L24" t="s">
        <v>8</v>
      </c>
      <c r="M24" t="s">
        <v>9</v>
      </c>
      <c r="N24" t="s">
        <v>10</v>
      </c>
    </row>
    <row r="25" spans="1:14" x14ac:dyDescent="0.35">
      <c r="A25" t="s">
        <v>11</v>
      </c>
      <c r="B25" t="s">
        <v>57</v>
      </c>
      <c r="C25" t="s">
        <v>58</v>
      </c>
      <c r="D25" t="s">
        <v>59</v>
      </c>
      <c r="E25" t="s">
        <v>15</v>
      </c>
      <c r="G25" t="s">
        <v>16</v>
      </c>
      <c r="H25" t="s">
        <v>60</v>
      </c>
      <c r="I25" t="s">
        <v>18</v>
      </c>
      <c r="J25" s="1">
        <v>255255255252</v>
      </c>
      <c r="K25" t="s">
        <v>61</v>
      </c>
      <c r="L25" t="s">
        <v>27</v>
      </c>
      <c r="M25" t="s">
        <v>15</v>
      </c>
      <c r="N25" t="s">
        <v>62</v>
      </c>
    </row>
    <row r="26" spans="1:14" x14ac:dyDescent="0.35">
      <c r="A26" t="s">
        <v>11</v>
      </c>
      <c r="B26" t="s">
        <v>63</v>
      </c>
      <c r="C26" t="s">
        <v>64</v>
      </c>
      <c r="D26" t="str">
        <f t="shared" ref="D26:E30" si="2">D25</f>
        <v>192.168.12.1</v>
      </c>
      <c r="E26" t="str">
        <f t="shared" si="2"/>
        <v>255.255.255.0</v>
      </c>
      <c r="I26" t="s">
        <v>65</v>
      </c>
      <c r="J26" s="1">
        <f>J25</f>
        <v>255255255252</v>
      </c>
      <c r="K26" t="s">
        <v>21</v>
      </c>
      <c r="L26" t="s">
        <v>30</v>
      </c>
      <c r="M26" t="str">
        <f>M25</f>
        <v>255.255.255.0</v>
      </c>
      <c r="N26" t="str">
        <f>N25</f>
        <v>10.0.0.6</v>
      </c>
    </row>
    <row r="27" spans="1:14" x14ac:dyDescent="0.35">
      <c r="A27" t="s">
        <v>11</v>
      </c>
      <c r="B27" t="s">
        <v>66</v>
      </c>
      <c r="C27" t="s">
        <v>67</v>
      </c>
      <c r="D27" t="str">
        <f t="shared" si="2"/>
        <v>192.168.12.1</v>
      </c>
      <c r="E27" t="str">
        <f t="shared" si="2"/>
        <v>255.255.255.0</v>
      </c>
      <c r="L27" t="s">
        <v>68</v>
      </c>
      <c r="M27" t="str">
        <f>M26</f>
        <v>255.255.255.0</v>
      </c>
      <c r="N27" t="s">
        <v>19</v>
      </c>
    </row>
    <row r="28" spans="1:14" x14ac:dyDescent="0.35">
      <c r="A28" t="s">
        <v>11</v>
      </c>
      <c r="B28" t="s">
        <v>69</v>
      </c>
      <c r="C28" t="s">
        <v>70</v>
      </c>
      <c r="D28" t="str">
        <f t="shared" si="2"/>
        <v>192.168.12.1</v>
      </c>
      <c r="E28" t="str">
        <f t="shared" si="2"/>
        <v>255.255.255.0</v>
      </c>
      <c r="L28" t="s">
        <v>71</v>
      </c>
      <c r="M28" t="str">
        <f>M27</f>
        <v>255.255.255.0</v>
      </c>
      <c r="N28" t="str">
        <f>N27</f>
        <v>10.0.0.1</v>
      </c>
    </row>
    <row r="29" spans="1:14" x14ac:dyDescent="0.35">
      <c r="A29" t="s">
        <v>11</v>
      </c>
      <c r="B29" t="s">
        <v>72</v>
      </c>
      <c r="C29" t="s">
        <v>73</v>
      </c>
      <c r="D29" t="str">
        <f t="shared" si="2"/>
        <v>192.168.12.1</v>
      </c>
      <c r="E29" t="str">
        <f t="shared" si="2"/>
        <v>255.255.255.0</v>
      </c>
      <c r="L29" t="s">
        <v>33</v>
      </c>
      <c r="M29" t="str">
        <f>M28</f>
        <v>255.255.255.0</v>
      </c>
      <c r="N29" t="str">
        <f>N25</f>
        <v>10.0.0.6</v>
      </c>
    </row>
    <row r="30" spans="1:14" x14ac:dyDescent="0.35">
      <c r="A30" t="s">
        <v>11</v>
      </c>
      <c r="B30" t="s">
        <v>74</v>
      </c>
      <c r="C30" t="s">
        <v>75</v>
      </c>
      <c r="D30" t="str">
        <f t="shared" si="2"/>
        <v>192.168.12.1</v>
      </c>
      <c r="E30" t="str">
        <f t="shared" si="2"/>
        <v>255.255.255.0</v>
      </c>
      <c r="L30" t="s">
        <v>36</v>
      </c>
      <c r="M30" t="str">
        <f>M29</f>
        <v>255.255.255.0</v>
      </c>
      <c r="N30" t="str">
        <f>N29</f>
        <v>10.0.0.6</v>
      </c>
    </row>
    <row r="31" spans="1:14" x14ac:dyDescent="0.35">
      <c r="A31" t="s">
        <v>37</v>
      </c>
      <c r="B31" t="s">
        <v>76</v>
      </c>
    </row>
    <row r="32" spans="1:14" x14ac:dyDescent="0.35">
      <c r="A32" t="s">
        <v>39</v>
      </c>
      <c r="B32" t="s">
        <v>77</v>
      </c>
    </row>
    <row r="33" spans="1:14" x14ac:dyDescent="0.35">
      <c r="A33" t="s">
        <v>41</v>
      </c>
      <c r="B33" t="s">
        <v>78</v>
      </c>
      <c r="C33" t="s">
        <v>79</v>
      </c>
      <c r="D33" t="str">
        <f>D25</f>
        <v>192.168.12.1</v>
      </c>
      <c r="E33" t="str">
        <f>E25</f>
        <v>255.255.255.0</v>
      </c>
    </row>
    <row r="34" spans="1:14" x14ac:dyDescent="0.35">
      <c r="A34" t="s">
        <v>44</v>
      </c>
      <c r="B34" t="s">
        <v>80</v>
      </c>
      <c r="C34" t="s">
        <v>81</v>
      </c>
      <c r="D34" t="str">
        <f>D26</f>
        <v>192.168.12.1</v>
      </c>
      <c r="E34" t="str">
        <f>E26</f>
        <v>255.255.255.0</v>
      </c>
    </row>
    <row r="35" spans="1:14" x14ac:dyDescent="0.35">
      <c r="A35" t="s">
        <v>47</v>
      </c>
      <c r="B35" t="s">
        <v>82</v>
      </c>
      <c r="C35" t="s">
        <v>83</v>
      </c>
      <c r="D35" t="str">
        <f>D25</f>
        <v>192.168.12.1</v>
      </c>
      <c r="E35" t="str">
        <f>E25</f>
        <v>255.255.255.0</v>
      </c>
    </row>
    <row r="36" spans="1:14" x14ac:dyDescent="0.35">
      <c r="A36" t="s">
        <v>50</v>
      </c>
      <c r="B36" t="s">
        <v>84</v>
      </c>
      <c r="C36" t="s">
        <v>85</v>
      </c>
      <c r="D36" t="s">
        <v>86</v>
      </c>
      <c r="E36" t="s">
        <v>15</v>
      </c>
    </row>
    <row r="37" spans="1:14" x14ac:dyDescent="0.35">
      <c r="A37" t="s">
        <v>50</v>
      </c>
      <c r="B37" t="s">
        <v>87</v>
      </c>
      <c r="C37" t="s">
        <v>88</v>
      </c>
      <c r="D37" t="str">
        <f>D36</f>
        <v>192.168.2.1</v>
      </c>
      <c r="E37" t="s">
        <v>15</v>
      </c>
    </row>
    <row r="43" spans="1:14" x14ac:dyDescent="0.35">
      <c r="C43" t="s">
        <v>149</v>
      </c>
      <c r="J43" t="s">
        <v>150</v>
      </c>
    </row>
    <row r="44" spans="1:14" x14ac:dyDescent="0.35">
      <c r="A44" t="s">
        <v>0</v>
      </c>
      <c r="B44" t="s">
        <v>1</v>
      </c>
      <c r="C44" t="s">
        <v>2</v>
      </c>
      <c r="D44" t="s">
        <v>3</v>
      </c>
      <c r="E44" t="s">
        <v>4</v>
      </c>
      <c r="G44" t="s">
        <v>5</v>
      </c>
      <c r="H44" t="s">
        <v>6</v>
      </c>
      <c r="I44" t="s">
        <v>7</v>
      </c>
      <c r="J44" t="s">
        <v>56</v>
      </c>
      <c r="K44" t="s">
        <v>2</v>
      </c>
      <c r="L44" t="s">
        <v>8</v>
      </c>
      <c r="M44" t="s">
        <v>9</v>
      </c>
      <c r="N44" t="s">
        <v>10</v>
      </c>
    </row>
    <row r="45" spans="1:14" x14ac:dyDescent="0.35">
      <c r="A45" t="s">
        <v>11</v>
      </c>
      <c r="B45" t="s">
        <v>89</v>
      </c>
      <c r="C45" t="s">
        <v>90</v>
      </c>
      <c r="D45" t="s">
        <v>91</v>
      </c>
      <c r="E45" t="s">
        <v>15</v>
      </c>
      <c r="G45" t="s">
        <v>16</v>
      </c>
      <c r="H45" t="s">
        <v>92</v>
      </c>
      <c r="I45" t="s">
        <v>18</v>
      </c>
      <c r="J45" s="1">
        <v>255255255252</v>
      </c>
      <c r="K45" t="s">
        <v>93</v>
      </c>
      <c r="L45" t="s">
        <v>20</v>
      </c>
      <c r="M45" t="s">
        <v>15</v>
      </c>
      <c r="N45" t="s">
        <v>61</v>
      </c>
    </row>
    <row r="46" spans="1:14" x14ac:dyDescent="0.35">
      <c r="A46" t="s">
        <v>11</v>
      </c>
      <c r="B46" t="s">
        <v>94</v>
      </c>
      <c r="C46" t="s">
        <v>95</v>
      </c>
      <c r="D46" t="str">
        <f t="shared" ref="D46:E50" si="3">D45</f>
        <v>192.168.13.1</v>
      </c>
      <c r="E46" t="str">
        <f t="shared" si="3"/>
        <v>255.255.255.0</v>
      </c>
      <c r="I46" t="s">
        <v>65</v>
      </c>
      <c r="J46" s="1">
        <f>J45</f>
        <v>255255255252</v>
      </c>
      <c r="K46" t="s">
        <v>62</v>
      </c>
      <c r="L46" t="s">
        <v>24</v>
      </c>
      <c r="M46" t="str">
        <f>M45</f>
        <v>255.255.255.0</v>
      </c>
      <c r="N46" t="str">
        <f>N45</f>
        <v>10.0.0.5</v>
      </c>
    </row>
    <row r="47" spans="1:14" x14ac:dyDescent="0.35">
      <c r="A47" t="s">
        <v>11</v>
      </c>
      <c r="B47" t="s">
        <v>96</v>
      </c>
      <c r="C47" t="s">
        <v>97</v>
      </c>
      <c r="D47" t="str">
        <f t="shared" si="3"/>
        <v>192.168.13.1</v>
      </c>
      <c r="E47" t="str">
        <f t="shared" si="3"/>
        <v>255.255.255.0</v>
      </c>
      <c r="L47" t="s">
        <v>68</v>
      </c>
      <c r="M47" t="str">
        <f>M46</f>
        <v>255.255.255.0</v>
      </c>
      <c r="N47" t="s">
        <v>61</v>
      </c>
    </row>
    <row r="48" spans="1:14" x14ac:dyDescent="0.35">
      <c r="A48" t="s">
        <v>11</v>
      </c>
      <c r="B48" t="s">
        <v>98</v>
      </c>
      <c r="C48" t="s">
        <v>99</v>
      </c>
      <c r="D48" t="str">
        <f t="shared" si="3"/>
        <v>192.168.13.1</v>
      </c>
      <c r="E48" t="str">
        <f t="shared" si="3"/>
        <v>255.255.255.0</v>
      </c>
      <c r="L48" t="s">
        <v>71</v>
      </c>
      <c r="M48" t="str">
        <f>M47</f>
        <v>255.255.255.0</v>
      </c>
      <c r="N48" t="str">
        <f>N47</f>
        <v>10.0.0.5</v>
      </c>
    </row>
    <row r="49" spans="1:14" x14ac:dyDescent="0.35">
      <c r="A49" t="s">
        <v>11</v>
      </c>
      <c r="B49" t="s">
        <v>100</v>
      </c>
      <c r="C49" t="s">
        <v>101</v>
      </c>
      <c r="D49" t="str">
        <f t="shared" si="3"/>
        <v>192.168.13.1</v>
      </c>
      <c r="E49" t="str">
        <f t="shared" si="3"/>
        <v>255.255.255.0</v>
      </c>
      <c r="L49" t="s">
        <v>33</v>
      </c>
      <c r="M49" t="str">
        <f>M48</f>
        <v>255.255.255.0</v>
      </c>
      <c r="N49" t="s">
        <v>102</v>
      </c>
    </row>
    <row r="50" spans="1:14" x14ac:dyDescent="0.35">
      <c r="A50" t="s">
        <v>11</v>
      </c>
      <c r="B50" t="s">
        <v>103</v>
      </c>
      <c r="C50" t="s">
        <v>104</v>
      </c>
      <c r="D50" t="str">
        <f t="shared" si="3"/>
        <v>192.168.13.1</v>
      </c>
      <c r="E50" t="str">
        <f t="shared" si="3"/>
        <v>255.255.255.0</v>
      </c>
      <c r="L50" t="s">
        <v>36</v>
      </c>
      <c r="M50" t="str">
        <f>M49</f>
        <v>255.255.255.0</v>
      </c>
      <c r="N50" t="str">
        <f>N49</f>
        <v>10.0.0.10</v>
      </c>
    </row>
    <row r="51" spans="1:14" x14ac:dyDescent="0.35">
      <c r="A51" t="s">
        <v>37</v>
      </c>
      <c r="B51" t="s">
        <v>105</v>
      </c>
    </row>
    <row r="52" spans="1:14" x14ac:dyDescent="0.35">
      <c r="A52" t="s">
        <v>39</v>
      </c>
      <c r="B52" t="s">
        <v>106</v>
      </c>
    </row>
    <row r="53" spans="1:14" x14ac:dyDescent="0.35">
      <c r="A53" t="s">
        <v>41</v>
      </c>
      <c r="B53" t="s">
        <v>107</v>
      </c>
      <c r="C53" t="s">
        <v>108</v>
      </c>
      <c r="D53" t="str">
        <f>D45</f>
        <v>192.168.13.1</v>
      </c>
      <c r="E53" t="str">
        <f>E45</f>
        <v>255.255.255.0</v>
      </c>
    </row>
    <row r="54" spans="1:14" x14ac:dyDescent="0.35">
      <c r="A54" t="s">
        <v>44</v>
      </c>
      <c r="B54" t="s">
        <v>109</v>
      </c>
      <c r="C54" t="s">
        <v>110</v>
      </c>
      <c r="D54" t="str">
        <f>D46</f>
        <v>192.168.13.1</v>
      </c>
      <c r="E54" t="str">
        <f>E46</f>
        <v>255.255.255.0</v>
      </c>
    </row>
    <row r="55" spans="1:14" x14ac:dyDescent="0.35">
      <c r="A55" t="s">
        <v>47</v>
      </c>
      <c r="B55" t="s">
        <v>111</v>
      </c>
      <c r="C55" t="s">
        <v>112</v>
      </c>
      <c r="D55" t="str">
        <f>D45</f>
        <v>192.168.13.1</v>
      </c>
      <c r="E55" t="str">
        <f>E45</f>
        <v>255.255.255.0</v>
      </c>
    </row>
    <row r="56" spans="1:14" x14ac:dyDescent="0.35">
      <c r="A56" t="s">
        <v>50</v>
      </c>
      <c r="B56" t="s">
        <v>113</v>
      </c>
      <c r="C56" t="s">
        <v>114</v>
      </c>
      <c r="D56" t="s">
        <v>115</v>
      </c>
      <c r="E56" t="s">
        <v>15</v>
      </c>
    </row>
    <row r="57" spans="1:14" x14ac:dyDescent="0.35">
      <c r="A57" t="s">
        <v>50</v>
      </c>
      <c r="B57" t="s">
        <v>116</v>
      </c>
      <c r="C57" t="s">
        <v>117</v>
      </c>
      <c r="D57" t="str">
        <f>D56</f>
        <v>192.168.3.1</v>
      </c>
      <c r="E57" t="s">
        <v>15</v>
      </c>
    </row>
    <row r="63" spans="1:14" x14ac:dyDescent="0.35">
      <c r="C63" t="s">
        <v>151</v>
      </c>
      <c r="J63" t="s">
        <v>152</v>
      </c>
    </row>
    <row r="64" spans="1:14" x14ac:dyDescent="0.35">
      <c r="A64" t="s">
        <v>0</v>
      </c>
      <c r="B64" t="s">
        <v>1</v>
      </c>
      <c r="C64" t="s">
        <v>2</v>
      </c>
      <c r="D64" t="s">
        <v>3</v>
      </c>
      <c r="E64" t="s">
        <v>4</v>
      </c>
      <c r="G64" t="s">
        <v>5</v>
      </c>
      <c r="H64" t="s">
        <v>6</v>
      </c>
      <c r="I64" t="s">
        <v>7</v>
      </c>
      <c r="J64" t="s">
        <v>56</v>
      </c>
      <c r="K64" t="s">
        <v>2</v>
      </c>
      <c r="L64" t="s">
        <v>8</v>
      </c>
      <c r="M64" t="s">
        <v>9</v>
      </c>
      <c r="N64" t="s">
        <v>10</v>
      </c>
    </row>
    <row r="65" spans="1:14" x14ac:dyDescent="0.35">
      <c r="A65" t="s">
        <v>11</v>
      </c>
      <c r="B65" t="s">
        <v>118</v>
      </c>
      <c r="C65" t="s">
        <v>119</v>
      </c>
      <c r="D65" t="s">
        <v>120</v>
      </c>
      <c r="E65" t="s">
        <v>15</v>
      </c>
      <c r="G65" t="s">
        <v>16</v>
      </c>
      <c r="H65" t="s">
        <v>121</v>
      </c>
      <c r="I65" t="s">
        <v>18</v>
      </c>
      <c r="J65" s="1">
        <v>255255255252</v>
      </c>
      <c r="K65" t="s">
        <v>102</v>
      </c>
      <c r="L65" t="s">
        <v>20</v>
      </c>
      <c r="M65" t="s">
        <v>15</v>
      </c>
      <c r="N65" t="s">
        <v>93</v>
      </c>
    </row>
    <row r="66" spans="1:14" x14ac:dyDescent="0.35">
      <c r="A66" t="s">
        <v>11</v>
      </c>
      <c r="B66" t="s">
        <v>122</v>
      </c>
      <c r="C66" t="s">
        <v>123</v>
      </c>
      <c r="D66" t="str">
        <f t="shared" ref="D66:E70" si="4">D65</f>
        <v>192.168.14.1</v>
      </c>
      <c r="E66" t="str">
        <f t="shared" si="4"/>
        <v>255.255.255.0</v>
      </c>
      <c r="J66" s="1"/>
      <c r="L66" t="s">
        <v>24</v>
      </c>
      <c r="M66" t="str">
        <f>M65</f>
        <v>255.255.255.0</v>
      </c>
      <c r="N66" t="str">
        <f>N65</f>
        <v>10.0.0.9</v>
      </c>
    </row>
    <row r="67" spans="1:14" x14ac:dyDescent="0.35">
      <c r="A67" t="s">
        <v>11</v>
      </c>
      <c r="B67" t="s">
        <v>124</v>
      </c>
      <c r="C67" t="s">
        <v>125</v>
      </c>
      <c r="D67" t="str">
        <f t="shared" si="4"/>
        <v>192.168.14.1</v>
      </c>
      <c r="E67" t="str">
        <f t="shared" si="4"/>
        <v>255.255.255.0</v>
      </c>
      <c r="L67" t="s">
        <v>68</v>
      </c>
      <c r="M67" t="str">
        <f>M66</f>
        <v>255.255.255.0</v>
      </c>
      <c r="N67" t="str">
        <f>N65</f>
        <v>10.0.0.9</v>
      </c>
    </row>
    <row r="68" spans="1:14" x14ac:dyDescent="0.35">
      <c r="A68" t="s">
        <v>11</v>
      </c>
      <c r="B68" t="s">
        <v>126</v>
      </c>
      <c r="C68" t="s">
        <v>127</v>
      </c>
      <c r="D68" t="str">
        <f t="shared" si="4"/>
        <v>192.168.14.1</v>
      </c>
      <c r="E68" t="str">
        <f t="shared" si="4"/>
        <v>255.255.255.0</v>
      </c>
      <c r="L68" t="s">
        <v>71</v>
      </c>
      <c r="M68" t="str">
        <f>M67</f>
        <v>255.255.255.0</v>
      </c>
      <c r="N68" t="str">
        <f>N67</f>
        <v>10.0.0.9</v>
      </c>
    </row>
    <row r="69" spans="1:14" x14ac:dyDescent="0.35">
      <c r="A69" t="s">
        <v>11</v>
      </c>
      <c r="B69" t="s">
        <v>128</v>
      </c>
      <c r="C69" t="s">
        <v>129</v>
      </c>
      <c r="D69" t="str">
        <f t="shared" si="4"/>
        <v>192.168.14.1</v>
      </c>
      <c r="E69" t="str">
        <f t="shared" si="4"/>
        <v>255.255.255.0</v>
      </c>
      <c r="L69" t="s">
        <v>27</v>
      </c>
      <c r="M69" t="str">
        <f>M68</f>
        <v>255.255.255.0</v>
      </c>
      <c r="N69" t="str">
        <f>N68</f>
        <v>10.0.0.9</v>
      </c>
    </row>
    <row r="70" spans="1:14" x14ac:dyDescent="0.35">
      <c r="A70" t="s">
        <v>11</v>
      </c>
      <c r="B70" t="s">
        <v>130</v>
      </c>
      <c r="C70" t="s">
        <v>131</v>
      </c>
      <c r="D70" t="str">
        <f t="shared" si="4"/>
        <v>192.168.14.1</v>
      </c>
      <c r="E70" t="str">
        <f t="shared" si="4"/>
        <v>255.255.255.0</v>
      </c>
      <c r="L70" t="s">
        <v>30</v>
      </c>
      <c r="M70" t="str">
        <f>M69</f>
        <v>255.255.255.0</v>
      </c>
      <c r="N70" t="str">
        <f>N69</f>
        <v>10.0.0.9</v>
      </c>
    </row>
    <row r="71" spans="1:14" x14ac:dyDescent="0.35">
      <c r="A71" t="s">
        <v>37</v>
      </c>
      <c r="B71" t="s">
        <v>132</v>
      </c>
    </row>
    <row r="72" spans="1:14" x14ac:dyDescent="0.35">
      <c r="A72" t="s">
        <v>39</v>
      </c>
      <c r="B72" t="s">
        <v>133</v>
      </c>
    </row>
    <row r="73" spans="1:14" x14ac:dyDescent="0.35">
      <c r="A73" t="s">
        <v>41</v>
      </c>
      <c r="B73" t="s">
        <v>134</v>
      </c>
      <c r="C73" t="s">
        <v>135</v>
      </c>
      <c r="D73" t="str">
        <f>D65</f>
        <v>192.168.14.1</v>
      </c>
      <c r="E73" t="str">
        <f>E65</f>
        <v>255.255.255.0</v>
      </c>
    </row>
    <row r="74" spans="1:14" x14ac:dyDescent="0.35">
      <c r="A74" t="s">
        <v>44</v>
      </c>
      <c r="B74" t="s">
        <v>136</v>
      </c>
      <c r="C74" t="s">
        <v>137</v>
      </c>
      <c r="D74" t="str">
        <f>D66</f>
        <v>192.168.14.1</v>
      </c>
      <c r="E74" t="str">
        <f>E66</f>
        <v>255.255.255.0</v>
      </c>
      <c r="I74" t="s">
        <v>153</v>
      </c>
    </row>
    <row r="75" spans="1:14" x14ac:dyDescent="0.35">
      <c r="A75" t="s">
        <v>47</v>
      </c>
      <c r="B75" t="s">
        <v>138</v>
      </c>
      <c r="C75" t="s">
        <v>139</v>
      </c>
      <c r="D75" t="str">
        <f>D65</f>
        <v>192.168.14.1</v>
      </c>
      <c r="E75" t="str">
        <f>E65</f>
        <v>255.255.255.0</v>
      </c>
    </row>
    <row r="76" spans="1:14" x14ac:dyDescent="0.35">
      <c r="A76" t="s">
        <v>50</v>
      </c>
      <c r="B76" t="s">
        <v>140</v>
      </c>
      <c r="C76" t="s">
        <v>141</v>
      </c>
      <c r="D76" t="s">
        <v>142</v>
      </c>
      <c r="E76" t="s">
        <v>15</v>
      </c>
    </row>
    <row r="77" spans="1:14" x14ac:dyDescent="0.35">
      <c r="A77" t="s">
        <v>50</v>
      </c>
      <c r="B77" t="s">
        <v>143</v>
      </c>
      <c r="C77" t="s">
        <v>144</v>
      </c>
      <c r="D77" t="str">
        <f>D76</f>
        <v>192.168.4.1</v>
      </c>
      <c r="E77" t="s">
        <v>15</v>
      </c>
    </row>
  </sheetData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Buitrago Martinez</dc:creator>
  <cp:lastModifiedBy>Nicolas Buitrago Martinez</cp:lastModifiedBy>
  <dcterms:created xsi:type="dcterms:W3CDTF">2025-11-07T16:09:46Z</dcterms:created>
  <dcterms:modified xsi:type="dcterms:W3CDTF">2026-05-28T06:43:37Z</dcterms:modified>
</cp:coreProperties>
</file>